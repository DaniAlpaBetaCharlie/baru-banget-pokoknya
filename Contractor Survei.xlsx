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jppanasonic-my.sharepoint.com/personal/abdulshamad_rennu_sg_panasonic_com/Documents/Project/Power Automate/Contractor Survei/Khusus/New/"/>
    </mc:Choice>
  </mc:AlternateContent>
  <xr:revisionPtr revIDLastSave="137" documentId="8_{63E84F31-12F2-4197-9322-C90B9EB1C9DE}" xr6:coauthVersionLast="47" xr6:coauthVersionMax="47" xr10:uidLastSave="{8C8F911F-E108-4072-9785-DA37B5F33937}"/>
  <bookViews>
    <workbookView xWindow="28680" yWindow="-120" windowWidth="29040" windowHeight="15720" xr2:uid="{C3BDB884-E99A-429D-A206-9D6EEC0053F4}"/>
  </bookViews>
  <sheets>
    <sheet name="Template" sheetId="2" r:id="rId1"/>
    <sheet name="Form" sheetId="1" r:id="rId2"/>
  </sheets>
  <externalReferences>
    <externalReference r:id="rId3"/>
  </externalReferences>
  <definedNames>
    <definedName name="_xlnm.Print_Area" localSheetId="1">Form!$U$1</definedName>
    <definedName name="_xlnm.Print_Area" localSheetId="0">Template!$A$1:$U$38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2" l="1" a="1"/>
  <c r="M22" i="2" s="1"/>
  <c r="G19" i="2" a="1"/>
  <c r="G19" i="2" s="1"/>
  <c r="G18" i="2" a="1"/>
  <c r="G18" i="2" s="1"/>
  <c r="M24" i="2" a="1"/>
  <c r="M24" i="2" s="1"/>
  <c r="G24" i="2" a="1"/>
  <c r="G24" i="2" s="1"/>
  <c r="G22" i="2" a="1"/>
  <c r="G22" i="2" s="1"/>
  <c r="P30" i="2" a="1"/>
  <c r="P30" i="2" s="1"/>
  <c r="I30" i="2" a="1"/>
  <c r="I30" i="2" s="1"/>
  <c r="B30" i="2" a="1"/>
  <c r="B30" i="2" s="1"/>
  <c r="G17" i="2" a="1"/>
  <c r="G17" i="2" s="1"/>
  <c r="G16" i="2" a="1"/>
  <c r="G16" i="2" s="1"/>
  <c r="U10" i="2" a="1"/>
  <c r="U10" i="2" s="1"/>
  <c r="U8" i="2" a="1"/>
  <c r="U8" i="2" s="1"/>
  <c r="G10" i="2" a="1"/>
  <c r="G10" i="2" s="1"/>
  <c r="G8" i="2" a="1"/>
  <c r="G8" i="2" s="1"/>
  <c r="G6" i="2" a="1"/>
  <c r="G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<sst xmlns="http://schemas.openxmlformats.org/spreadsheetml/2006/main" count="107" uniqueCount="85">
  <si>
    <t>ID</t>
  </si>
  <si>
    <t>Start time</t>
  </si>
  <si>
    <t>Completion time</t>
  </si>
  <si>
    <t>Email</t>
  </si>
  <si>
    <t>Name</t>
  </si>
  <si>
    <t>Project Name</t>
  </si>
  <si>
    <t>ApplicantRequestNo</t>
  </si>
  <si>
    <t>Date of Survey</t>
  </si>
  <si>
    <t>Function Name</t>
  </si>
  <si>
    <t>User</t>
  </si>
  <si>
    <t>Email User</t>
  </si>
  <si>
    <t>Project Owner</t>
  </si>
  <si>
    <t>Email Project Owner</t>
  </si>
  <si>
    <t>Contractor</t>
  </si>
  <si>
    <t>Type of Project</t>
  </si>
  <si>
    <t>Photo of Survey 1</t>
  </si>
  <si>
    <t>Photo of Survey 2</t>
  </si>
  <si>
    <t>Photo of Survey 3</t>
  </si>
  <si>
    <t>BQ</t>
  </si>
  <si>
    <t>PIDSG-BT</t>
  </si>
  <si>
    <t xml:space="preserve"> Contractor Job Survey  Sheet</t>
  </si>
  <si>
    <t>Project Information</t>
  </si>
  <si>
    <t>Project Name :</t>
  </si>
  <si>
    <t xml:space="preserve">	Applicant Request No. :</t>
  </si>
  <si>
    <t>Date of Survey :</t>
  </si>
  <si>
    <t>Project Owner :</t>
  </si>
  <si>
    <t>Function Name :</t>
  </si>
  <si>
    <t>Contractor :</t>
  </si>
  <si>
    <t>PT. CENTRAL</t>
  </si>
  <si>
    <t>PT. BATAM KARYA MANDIRI</t>
  </si>
  <si>
    <t>PT. EASTERN</t>
  </si>
  <si>
    <t>Civil</t>
  </si>
  <si>
    <t>Mechanical</t>
  </si>
  <si>
    <t>Electrical</t>
  </si>
  <si>
    <t>Apendix  (Photo before project will be build)</t>
  </si>
  <si>
    <t>abdulshamad.rennu@sg.panasonic.com</t>
  </si>
  <si>
    <t>Neko</t>
  </si>
  <si>
    <t>Keyboard</t>
  </si>
  <si>
    <t>Panca</t>
  </si>
  <si>
    <t>Joy</t>
  </si>
  <si>
    <t>["PT. EASTERN ","Siix"]</t>
  </si>
  <si>
    <t>["Mechanical","Epson"]</t>
  </si>
  <si>
    <t>https://jppanasonic-my.sharepoint.com/personal/abdulshamad_rennu_sg_panasonic_com/Documents/%E3%82%A2%E3%83%97%E3%83%AA/Microsoft%20Forms/Contractor%20Job%20Survey%20Sheet/Question/Screenshot%202026-02-06%20104627_Abdul%20Shamad%20Rennu%202.png</t>
  </si>
  <si>
    <t>https://jppanasonic-my.sharepoint.com/personal/abdulshamad_rennu_sg_panasonic_com/Documents/%E3%82%A2%E3%83%97%E3%83%AA/Microsoft%20Forms/Contractor%20Job%20Survey%20Sheet/Question%201/Screenshot%202026-02-06%20084629_Abdul%20Shamad%20Rennu%202.png</t>
  </si>
  <si>
    <t>https://jppanasonic-my.sharepoint.com/personal/abdulshamad_rennu_sg_panasonic_com/Documents/%E3%82%A2%E3%83%97%E3%83%AA/Microsoft%20Forms/Contractor%20Job%20Survey%20Sheet/Question%202/Screenshot%202026-02-06%20084612_Abdul%20Shamad%20Rennu%201.png</t>
  </si>
  <si>
    <t>https://jppanasonic-my.sharepoint.com/personal/abdulshamad_rennu_sg_panasonic_com/Documents/%E3%82%A2%E3%83%97%E3%83%AA/Microsoft%20Forms/Untitled%20form/Question%204/download_Abdul%20Shamad%20Rennu%201.pdf</t>
  </si>
  <si>
    <t>Aki</t>
  </si>
  <si>
    <t>Meja Bundar</t>
  </si>
  <si>
    <t>Yuhu</t>
  </si>
  <si>
    <t>["PT. BATAM KARYA MANDIRI"]</t>
  </si>
  <si>
    <t>["Mechanical"]</t>
  </si>
  <si>
    <t>https://jppanasonic-my.sharepoint.com/personal/abdulshamad_rennu_sg_panasonic_com/Documents/%E3%82%A2%E3%83%97%E3%83%AA/Microsoft%20Forms/Contractor%20Job%20Survey%20Sheet/Question/Screenshot%202026-02-06%20084013_Abdul%20Shamad%20Rennu%203.png</t>
  </si>
  <si>
    <t>https://jppanasonic-my.sharepoint.com/personal/abdulshamad_rennu_sg_panasonic_com/Documents/%E3%82%A2%E3%83%97%E3%83%AA/Microsoft%20Forms/Contractor%20Job%20Survey%20Sheet/Question%201/Screenshot%202026-02-06%20104719_Abdul%20Shamad%20Rennu%201.png</t>
  </si>
  <si>
    <t>https://jppanasonic-my.sharepoint.com/personal/abdulshamad_rennu_sg_panasonic_com/Documents/%E3%82%A2%E3%83%97%E3%83%AA/Microsoft%20Forms/Contractor%20Job%20Survey%20Sheet/Question%202/Screenshot%202026-02-06%20104620_Abdul%20Shamad%20Rennu%201.png</t>
  </si>
  <si>
    <t>https://jppanasonic-my.sharepoint.com/personal/abdulshamad_rennu_sg_panasonic_com/Documents/%E3%82%A2%E3%83%97%E3%83%AA/Microsoft%20Forms/Untitled%20form/Question%204/IRJET_Smart_Glasses_Multimeter_Abdul%20Shamad%20Rennu%2021.pdf</t>
  </si>
  <si>
    <t>Other</t>
  </si>
  <si>
    <t>Piu</t>
  </si>
  <si>
    <t>Mouse IoT</t>
  </si>
  <si>
    <t>Andhika</t>
  </si>
  <si>
    <t>Oka</t>
  </si>
  <si>
    <t>["PT. BATAM KARYA MANDIRI","PT. EASTERN "]</t>
  </si>
  <si>
    <t>["Mechanical","Electrical"]</t>
  </si>
  <si>
    <t>https://jppanasonic-my.sharepoint.com/personal/abdulshamad_rennu_sg_panasonic_com/Documents/%E3%82%A2%E3%83%97%E3%83%AA/Microsoft%20Forms/Contractor%20Job%20Survey%20Sheet/Question/Screenshot%202026-02-06%20104710_Abdul%20Shamad%20Rennu%201.png</t>
  </si>
  <si>
    <t>https://jppanasonic-my.sharepoint.com/personal/abdulshamad_rennu_sg_panasonic_com/Documents/%E3%82%A2%E3%83%97%E3%83%AA/Microsoft%20Forms/Contractor%20Job%20Survey%20Sheet/Question%201/Screenshot%202026-02-06%20104644_Abdul%20Shamad%20Rennu%201.png</t>
  </si>
  <si>
    <t>https://jppanasonic-my.sharepoint.com/personal/abdulshamad_rennu_sg_panasonic_com/Documents/%E3%82%A2%E3%83%97%E3%83%AA/Microsoft%20Forms/Contractor%20Job%20Survey%20Sheet/Question%202/Screenshot%202026-02-06%20084612_Abdul%20Shamad%20Rennu%202.png</t>
  </si>
  <si>
    <t>https://jppanasonic-my.sharepoint.com/personal/abdulshamad_rennu_sg_panasonic_com/Documents/%E3%82%A2%E3%83%97%E3%83%AA/Microsoft%20Forms/Untitled%20form/Question%204/%5BALL%5D%20UAT%20E-GATE%20PASS%20PANASONIC%20INDUSTRIAL%20DE_Abdul%20Shamad%20Rennu%202.pdf</t>
  </si>
  <si>
    <t>Parrow</t>
  </si>
  <si>
    <t>Handphone IoT</t>
  </si>
  <si>
    <t>Hengki</t>
  </si>
  <si>
    <t>Jeck</t>
  </si>
  <si>
    <t>["PT. BATAM KARYA MANDIRI","Terbit"]</t>
  </si>
  <si>
    <t>["Electrical","Terang"]</t>
  </si>
  <si>
    <t>https://jppanasonic-my.sharepoint.com/personal/abdulshamad_rennu_sg_panasonic_com/Documents/%E3%82%A2%E3%83%97%E3%83%AA/Microsoft%20Forms/Contractor%20Job%20Survey%20Sheet/Question/11.%20ABDUL%20SHAMAD%20RENNU_Abdul%20Shamad%20Rennu.JPG</t>
  </si>
  <si>
    <t>https://jppanasonic-my.sharepoint.com/personal/abdulshamad_rennu_sg_panasonic_com/Documents/%E3%82%A2%E3%83%97%E3%83%AA/Microsoft%20Forms/Contractor%20Job%20Survey%20Sheet/Question%201/0BBDED983700740A8BE3321CBDB99A9ED_Abdul%20Shamad%20Rennu.jpg</t>
  </si>
  <si>
    <t>https://jppanasonic-my.sharepoint.com/personal/abdulshamad_rennu_sg_panasonic_com/Documents/%E3%82%A2%E3%83%97%E3%83%AA/Microsoft%20Forms/Contractor%20Job%20Survey%20Sheet/Question%202/918444_JUNITA%20RITAWANI%20REZEKI_Abdul%20Shamad%20Rennu.jpg</t>
  </si>
  <si>
    <t>https://jppanasonic-my.sharepoint.com/personal/abdulshamad_rennu_sg_panasonic_com/Documents/%E3%82%A2%E3%83%97%E3%83%AA/Microsoft%20Forms/Untitled%20form/Question%204/12-feb-2024_Abdul%20Shamad%20Rennu.pdf</t>
  </si>
  <si>
    <t>Type of Project:</t>
  </si>
  <si>
    <t>tes</t>
  </si>
  <si>
    <t>Testing</t>
  </si>
  <si>
    <t>eka</t>
  </si>
  <si>
    <t>["PT. BATAM KARYA MANDIRI","Siix"]</t>
  </si>
  <si>
    <t>["Mechanical","Epsoon"]</t>
  </si>
  <si>
    <t>https://jppanasonic-my.sharepoint.com/personal/abdulshamad_rennu_sg_panasonic_com/Documents/%E3%82%A2%E3%83%97%E3%83%AA/Microsoft%20Forms/Contractor%20Job%20Survey%20Sheet/Question/1744790587542_Abdul%20Shamad%20Rennu.jpg</t>
  </si>
  <si>
    <t>https://jppanasonic-my.sharepoint.com/personal/abdulshamad_rennu_sg_panasonic_com/Documents/%E3%82%A2%E3%83%97%E3%83%AA/Microsoft%20Forms/Contractor%20Job%20Survey%20Sheet/Question%201/931641_FARDILA%20ARIYANTI_Abdul%20Shamad%20Rennu.jpg</t>
  </si>
  <si>
    <t>https://jppanasonic-my.sharepoint.com/personal/abdulshamad_rennu_sg_panasonic_com/Documents/%E3%82%A2%E3%83%97%E3%83%AA/Microsoft%20Forms/Contractor%20Job%20Survey%20Sheet/Question%202/938762_RESTI%20ADESTI_Abdul%20Shamad%20Rennu.jpg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</si>
</sst>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Wingdings 2"/>
      <family val="1"/>
      <charset val="2"/>
    </font>
    <font>
      <b/>
      <sz val="12"/>
      <color theme="1"/>
      <name val="Calibri"/>
      <family val="2"/>
    </font>
    <font>
      <b/>
      <sz val="12"/>
      <color theme="1"/>
      <name val="Wingdings 2"/>
      <family val="1"/>
      <charset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1" fillId="0" borderId="11" xfId="0" quotePrefix="1" applyFont="1" applyBorder="1" applyAlignment="1">
      <alignment horizontal="left"/>
    </xf>
    <xf numFmtId="0" fontId="0" fillId="0" borderId="10" xfId="0" applyBorder="1"/>
    <xf numFmtId="0" fontId="1" fillId="0" borderId="8" xfId="0" applyFont="1" applyBorder="1"/>
    <xf numFmtId="0" fontId="1" fillId="0" borderId="9" xfId="0" applyFont="1" applyBorder="1"/>
    <xf numFmtId="0" fontId="4" fillId="0" borderId="6" xfId="0" applyFont="1" applyBorder="1"/>
    <xf numFmtId="0" fontId="0" fillId="0" borderId="13" xfId="0" applyBorder="1"/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0" fillId="0" borderId="7" xfId="0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2" fillId="2" borderId="15" xfId="0" applyFont="1" applyFill="1" applyBorder="1" applyAlignment="1">
      <alignment horizontal="center" vertical="center" wrapText="1"/>
    </xf>
    <xf numFmtId="22" fontId="2" fillId="2" borderId="16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14" fontId="2" fillId="2" borderId="15" xfId="0" applyNumberFormat="1" applyFont="1" applyFill="1" applyBorder="1" applyAlignment="1">
      <alignment horizontal="center" vertical="center" wrapText="1"/>
    </xf>
    <xf numFmtId="22" fontId="2" fillId="2" borderId="14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1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4" fontId="1" fillId="0" borderId="7" xfId="0" applyNumberFormat="1" applyFont="1" applyBorder="1"/>
    <xf numFmtId="0" fontId="1" fillId="0" borderId="7" xfId="0" applyFont="1" applyBorder="1" applyAlignment="1">
      <alignment horizontal="center"/>
    </xf>
    <xf numFmtId="0" fontId="5" fillId="0" borderId="7" xfId="0" applyFont="1" applyBorder="1"/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0/07/relationships/rdRichValueWebImage" Target="richData/rdRichValueWebImage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rve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i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jppanasonic-my.sharepoint.com/personal/abdulshamad_rennu_sg_panasonic_com/Documents/%E3%82%A2%E3%83%97%E3%83%AA/Microsoft%20Forms/Contractor%20Job%20Survey%20Sheet/Question%201/931641_FARDILA%20ARIYANTI_Abdul%20Shamad%20Rennu.jpg?download=1" TargetMode="External"/><Relationship Id="rId2" Type="http://schemas.openxmlformats.org/officeDocument/2006/relationships/image" Target="../media/image1.jpg"/><Relationship Id="rId1" Type="http://schemas.openxmlformats.org/officeDocument/2006/relationships/hyperlink" Target="https://jppanasonic-my.sharepoint.com/personal/abdulshamad_rennu_sg_panasonic_com/Documents/%E3%82%A2%E3%83%97%E3%83%AA/Microsoft%20Forms/Contractor%20Job%20Survey%20Sheet/Question/1744790587542_Abdul%20Shamad%20Rennu.jpg?download=1" TargetMode="External"/><Relationship Id="rId6" Type="http://schemas.openxmlformats.org/officeDocument/2006/relationships/image" Target="../media/image3.jpg"/><Relationship Id="rId5" Type="http://schemas.openxmlformats.org/officeDocument/2006/relationships/hyperlink" Target="https://jppanasonic-my.sharepoint.com/personal/abdulshamad_rennu_sg_panasonic_com/Documents/%E3%82%A2%E3%83%97%E3%83%AA/Microsoft%20Forms/Contractor%20Job%20Survey%20Sheet/Question%202/938762_RESTI%20ADESTI_Abdul%20Shamad%20Rennu.jpg?download=1" TargetMode="External"/><Relationship Id="rId4" Type="http://schemas.openxmlformats.org/officeDocument/2006/relationships/image" Target="../media/image2.jp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</webImagesSrd>
</file>

<file path=xl/richData/rdrichvalue.xml><?xml version="1.0" encoding="utf-8"?>
<rvData xmlns="http://schemas.microsoft.com/office/spreadsheetml/2017/richdata" count="3">
  <rv s="0">
    <v>0</v>
    <v>1</v>
    <v>0</v>
    <v>0</v>
  </rv>
  <rv s="0">
    <v>1</v>
    <v>1</v>
    <v>0</v>
    <v>0</v>
  </rv>
  <rv s="0">
    <v>2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35FDBF-E5FB-41A1-86DF-6C37872220EE}" name="Table2" displayName="Table2" ref="A1:S6" insertRowShift="1" totalsRowShown="0" headerRowDxfId="22" dataDxfId="20" headerRowBorderDxfId="21" tableBorderDxfId="19">
  <autoFilter ref="A1:S6" xr:uid="{EA3BAB13-7A06-486B-8CDE-AA5331AE30C6}"/>
  <tableColumns count="19">
    <tableColumn id="1" xr3:uid="{242850A8-EF94-45E0-AA02-8313167F27B0}" name="ID" dataDxfId="18"/>
    <tableColumn id="64" xr3:uid="{6BBB8671-6F6D-4335-8587-A9EE66AA693A}" name="Start time" dataDxfId="17"/>
    <tableColumn id="66" xr3:uid="{83F516C9-C954-4209-9F31-3075D24D72B6}" name="Completion time" dataDxfId="16"/>
    <tableColumn id="6" xr3:uid="{824241D0-E319-4873-AB6F-4948C6F97AF6}" name="Email" dataDxfId="15"/>
    <tableColumn id="67" xr3:uid="{9EC1FC9F-981A-431D-9608-3E8B199A4928}" name="Name" dataDxfId="14"/>
    <tableColumn id="7" xr3:uid="{50485812-105C-485B-A09C-08E752844289}" name="Project Name" dataDxfId="13"/>
    <tableColumn id="68" xr3:uid="{8D498601-FC2B-40AD-A76E-56400A7FC668}" name="ApplicantRequestNo" dataDxfId="12"/>
    <tableColumn id="69" xr3:uid="{65F9E51B-9536-4943-BE56-1C742A8DA11D}" name="Date of Survey" dataDxfId="11"/>
    <tableColumn id="70" xr3:uid="{258EA3A5-C335-45D7-8DFD-63A35390002A}" name="Function Name" dataDxfId="10"/>
    <tableColumn id="71" xr3:uid="{762E7CAD-BEED-4ED5-810D-A235661492CB}" name="User" dataDxfId="9"/>
    <tableColumn id="72" xr3:uid="{68C77806-11A5-4118-9D5C-5F0B78D2FBC9}" name="Email User" dataDxfId="8"/>
    <tableColumn id="73" xr3:uid="{3241CBAA-594D-4454-9871-558B61EC7619}" name="Project Owner" dataDxfId="7"/>
    <tableColumn id="74" xr3:uid="{7C016512-A2A6-4EAD-95E8-FE10067D0DF4}" name="Email Project Owner" dataDxfId="6"/>
    <tableColumn id="75" xr3:uid="{74B471D9-D62F-4123-9454-2A72CC3A77FA}" name="Contractor" dataDxfId="5"/>
    <tableColumn id="76" xr3:uid="{77268D3E-53DE-4B1A-9C14-84E1D990B8A7}" name="Type of Project" dataDxfId="4"/>
    <tableColumn id="77" xr3:uid="{A8668D2B-D27F-4391-B7E8-97FAD18F099E}" name="Photo of Survey 1" dataDxfId="3"/>
    <tableColumn id="78" xr3:uid="{6B30F439-8923-4275-AF55-88B17F07D6A9}" name="Photo of Survey 2" dataDxfId="2"/>
    <tableColumn id="79" xr3:uid="{CD24F36A-3A2F-461F-A188-167BF76E6C96}" name="Photo of Survey 3" dataDxfId="1"/>
    <tableColumn id="2" xr3:uid="{B395670B-A3F1-4AE0-81D4-62DF44E46FEA}" name="BQ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040C-680D-4197-8DB6-6DDE0F7F0004}">
  <sheetPr>
    <tabColor rgb="FF92D050"/>
  </sheetPr>
  <dimension ref="A1:AB84"/>
  <sheetViews>
    <sheetView showGridLines="0" tabSelected="1" view="pageBreakPreview" topLeftCell="A3" zoomScale="124" zoomScaleNormal="84" zoomScaleSheetLayoutView="124" workbookViewId="0">
      <selection activeCell="R14" sqref="R14"/>
    </sheetView>
  </sheetViews>
  <sheetFormatPr defaultRowHeight="15" x14ac:dyDescent="0.25"/>
  <cols>
    <col min="1" max="1" width="4" customWidth="1"/>
    <col min="2" max="5" width="3.140625" customWidth="1"/>
    <col min="6" max="6" width="7.5703125" customWidth="1"/>
    <col min="7" max="7" width="5" bestFit="1" customWidth="1"/>
    <col min="8" max="9" width="5.85546875" customWidth="1"/>
    <col min="10" max="10" width="3.140625" customWidth="1"/>
    <col min="11" max="11" width="5.85546875" customWidth="1"/>
    <col min="12" max="19" width="3.140625" customWidth="1"/>
    <col min="20" max="20" width="1.85546875" customWidth="1"/>
    <col min="21" max="21" width="14.7109375" customWidth="1"/>
  </cols>
  <sheetData>
    <row r="1" spans="1:22" ht="15.75" thickBot="1" x14ac:dyDescent="0.3">
      <c r="A1" s="27" t="s">
        <v>19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45"/>
      <c r="V1" s="6"/>
    </row>
    <row r="2" spans="1:22" ht="19.5" thickBot="1" x14ac:dyDescent="0.35">
      <c r="A2" s="49" t="s">
        <v>20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1"/>
      <c r="V2" s="38"/>
    </row>
    <row r="3" spans="1:22" ht="16.5" customHeight="1" x14ac:dyDescent="0.25">
      <c r="A3" s="46" t="s">
        <v>21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8"/>
      <c r="V3" s="6"/>
    </row>
    <row r="4" spans="1:22" ht="15.75" thickBot="1" x14ac:dyDescent="0.3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1"/>
      <c r="V4" s="6"/>
    </row>
    <row r="5" spans="1:22" ht="15.75" thickBot="1" x14ac:dyDescent="0.3">
      <c r="A5" s="6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10"/>
      <c r="V5" s="6"/>
    </row>
    <row r="6" spans="1:22" ht="15.75" thickBot="1" x14ac:dyDescent="0.3">
      <c r="A6" s="6"/>
      <c r="B6" s="38"/>
      <c r="C6" s="39"/>
      <c r="D6" s="39"/>
      <c r="E6" s="39"/>
      <c r="F6" s="40" t="s">
        <v>22</v>
      </c>
      <c r="G6" s="52" t="str" cm="1">
        <f t="array" ref="G6">INDEX(Table2[Project Name],COUNTA(Table2[Project Name]))</f>
        <v>Testing</v>
      </c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13"/>
      <c r="V6" s="6"/>
    </row>
    <row r="7" spans="1:22" ht="15.75" thickBot="1" x14ac:dyDescent="0.3">
      <c r="A7" s="6"/>
      <c r="B7" s="38"/>
      <c r="C7" s="39"/>
      <c r="D7" s="39"/>
      <c r="E7" s="39"/>
      <c r="F7" s="40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14"/>
    </row>
    <row r="8" spans="1:22" ht="15.75" thickBot="1" x14ac:dyDescent="0.3">
      <c r="A8" s="6"/>
      <c r="B8" s="38"/>
      <c r="C8" s="39"/>
      <c r="D8" s="39"/>
      <c r="E8" s="39"/>
      <c r="F8" s="40" t="s">
        <v>23</v>
      </c>
      <c r="G8" s="53" cm="1">
        <f t="array" ref="G8">INDEX(Table2[ApplicantRequestNo],COUNTA(Table2[ApplicantRequestNo]))</f>
        <v>3453</v>
      </c>
      <c r="H8" s="53"/>
      <c r="I8" s="53"/>
      <c r="J8" s="53"/>
      <c r="K8" s="53"/>
      <c r="L8" s="53"/>
      <c r="M8" s="53"/>
      <c r="N8" s="53"/>
      <c r="O8" s="39"/>
      <c r="P8" s="39"/>
      <c r="Q8" s="39"/>
      <c r="R8" s="39"/>
      <c r="S8" s="39"/>
      <c r="T8" s="40" t="s">
        <v>24</v>
      </c>
      <c r="U8" s="54" cm="1">
        <f t="array" ref="U8">INDEX(Table2[Date of Survey],COUNTA(Table2[Date of Survey]))</f>
        <v>46063</v>
      </c>
    </row>
    <row r="9" spans="1:22" ht="15.75" thickBot="1" x14ac:dyDescent="0.3">
      <c r="A9" s="6"/>
      <c r="B9" s="38"/>
      <c r="C9" s="39"/>
      <c r="D9" s="39"/>
      <c r="E9" s="39"/>
      <c r="F9" s="40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40"/>
      <c r="U9" s="14"/>
    </row>
    <row r="10" spans="1:22" ht="15.75" thickBot="1" x14ac:dyDescent="0.3">
      <c r="A10" s="6"/>
      <c r="B10" s="38"/>
      <c r="C10" s="39"/>
      <c r="D10" s="39"/>
      <c r="E10" s="39"/>
      <c r="F10" s="40" t="s">
        <v>25</v>
      </c>
      <c r="G10" s="52" t="str" cm="1">
        <f t="array" ref="G10">INDEX(Table2[Project Owner],COUNTA(Table2[Project Owner]))</f>
        <v>eka</v>
      </c>
      <c r="H10" s="52"/>
      <c r="I10" s="52"/>
      <c r="J10" s="52"/>
      <c r="K10" s="52"/>
      <c r="L10" s="52"/>
      <c r="M10" s="52"/>
      <c r="N10" s="52"/>
      <c r="O10" s="39"/>
      <c r="P10" s="39"/>
      <c r="Q10" s="39"/>
      <c r="R10" s="39"/>
      <c r="S10" s="39"/>
      <c r="T10" s="40" t="s">
        <v>26</v>
      </c>
      <c r="U10" s="55" t="str" cm="1">
        <f t="array" ref="U10">INDEX(Table2[Function Name],COUNTA(Table2[Date of Survey]))</f>
        <v>Panca</v>
      </c>
    </row>
    <row r="11" spans="1:22" x14ac:dyDescent="0.25">
      <c r="A11" s="6"/>
      <c r="B11" s="38"/>
      <c r="C11" s="39"/>
      <c r="D11" s="39"/>
      <c r="E11" s="39"/>
      <c r="F11" s="40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15"/>
    </row>
    <row r="12" spans="1:22" x14ac:dyDescent="0.25">
      <c r="A12" s="6"/>
      <c r="B12" s="38"/>
      <c r="C12" s="39"/>
      <c r="D12" s="39"/>
      <c r="E12" s="39"/>
      <c r="F12" s="40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15"/>
    </row>
    <row r="13" spans="1:22" x14ac:dyDescent="0.25">
      <c r="A13" s="6"/>
      <c r="B13" s="38"/>
      <c r="C13" s="39"/>
      <c r="D13" s="39"/>
      <c r="E13" s="39"/>
      <c r="F13" s="40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14"/>
    </row>
    <row r="14" spans="1:22" ht="15.75" thickBot="1" x14ac:dyDescent="0.3">
      <c r="A14" s="16"/>
      <c r="B14" s="8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8"/>
    </row>
    <row r="15" spans="1:22" ht="15.75" thickBot="1" x14ac:dyDescent="0.3">
      <c r="A15" s="6"/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14"/>
    </row>
    <row r="16" spans="1:22" ht="15.75" thickBot="1" x14ac:dyDescent="0.3">
      <c r="A16" s="6"/>
      <c r="B16" s="38"/>
      <c r="C16" s="39"/>
      <c r="D16" s="39"/>
      <c r="E16" s="39"/>
      <c r="F16" s="40" t="s">
        <v>27</v>
      </c>
      <c r="G16" s="56" t="str" cm="1">
        <f t="array" ref="G16">IF(ISNUMBER(SEARCH("PT. CENTRAL",INDEX(Table2[Contractor],COUNTA(Table2[Contractor])))),CHAR(80),"")</f>
        <v/>
      </c>
      <c r="H16" s="39" t="s">
        <v>28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14"/>
    </row>
    <row r="17" spans="1:28" ht="15.75" thickBot="1" x14ac:dyDescent="0.3">
      <c r="A17" s="6"/>
      <c r="B17" s="38"/>
      <c r="C17" s="39"/>
      <c r="D17" s="39"/>
      <c r="E17" s="39"/>
      <c r="F17" s="40"/>
      <c r="G17" s="56" t="str" cm="1">
        <f t="array" ref="G17">IF(ISNUMBER(SEARCH("PT. BATAM KARYA MANDIRI",INDEX(Table2[Contractor],COUNTA(Table2[Contractor])))),CHAR(80),"")</f>
        <v>P</v>
      </c>
      <c r="H17" s="39" t="s">
        <v>29</v>
      </c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14"/>
    </row>
    <row r="18" spans="1:28" ht="15.75" thickBot="1" x14ac:dyDescent="0.3">
      <c r="A18" s="6"/>
      <c r="B18" s="38"/>
      <c r="C18" s="39"/>
      <c r="D18" s="39"/>
      <c r="E18" s="39"/>
      <c r="F18" s="40"/>
      <c r="G18" s="56" t="str" cm="1">
        <f t="array" ref="G18">IF(ISNUMBER(SEARCH("PT. EASTERN",INDEX(Table2[Contractor],COUNTA(Table2[Contractor])))),CHAR(80),"")</f>
        <v/>
      </c>
      <c r="H18" s="39" t="s">
        <v>30</v>
      </c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14"/>
    </row>
    <row r="19" spans="1:28" ht="15.75" thickBot="1" x14ac:dyDescent="0.3">
      <c r="A19" s="6"/>
      <c r="B19" s="38"/>
      <c r="C19" s="39"/>
      <c r="D19" s="39"/>
      <c r="E19" s="39"/>
      <c r="F19" s="40"/>
      <c r="G19" s="56" t="str" cm="1">
        <f t="array" ref="G19">IF(ISNA(MATCH(INDEX(Contractor [1]!Table2[Contractor],COUNTA(Contractor [1]!Table2[Contractor])),{"Other","PT. CENTRAL","PT. BATAM KARYA MANDIRI","PT. EASTERN"},0)),CHAR(80),"")</f>
        <v/>
      </c>
      <c r="H19" s="39" t="s">
        <v>55</v>
      </c>
      <c r="I19" s="41"/>
      <c r="J19" s="41"/>
      <c r="K19" s="41"/>
      <c r="L19" s="38"/>
      <c r="M19" s="39"/>
      <c r="N19" s="39"/>
      <c r="O19" s="39"/>
      <c r="P19" s="39"/>
      <c r="Q19" s="39"/>
      <c r="R19" s="39"/>
      <c r="S19" s="39"/>
      <c r="T19" s="39"/>
      <c r="U19" s="14"/>
      <c r="AB19" s="7"/>
    </row>
    <row r="20" spans="1:28" x14ac:dyDescent="0.25">
      <c r="A20" s="6"/>
      <c r="B20" s="38"/>
      <c r="C20" s="39"/>
      <c r="D20" s="39"/>
      <c r="E20" s="39"/>
      <c r="F20" s="40"/>
      <c r="G20" s="39"/>
      <c r="H20" s="39"/>
      <c r="I20" s="39"/>
      <c r="J20" s="39"/>
      <c r="K20" s="38"/>
      <c r="L20" s="39"/>
      <c r="M20" s="39"/>
      <c r="N20" s="39"/>
      <c r="O20" s="39"/>
      <c r="P20" s="39"/>
      <c r="Q20" s="39"/>
      <c r="R20" s="39"/>
      <c r="S20" s="39"/>
      <c r="T20" s="39"/>
      <c r="U20" s="14"/>
    </row>
    <row r="21" spans="1:28" ht="16.5" thickBot="1" x14ac:dyDescent="0.3">
      <c r="A21" s="19"/>
      <c r="B21" s="42" t="s">
        <v>76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8"/>
      <c r="N21" s="39"/>
      <c r="O21" s="39"/>
      <c r="P21" s="39"/>
      <c r="Q21" s="39"/>
      <c r="R21" s="39"/>
      <c r="S21" s="39"/>
      <c r="T21" s="39"/>
      <c r="U21" s="14"/>
    </row>
    <row r="22" spans="1:28" ht="16.5" thickBot="1" x14ac:dyDescent="0.3">
      <c r="A22" s="6"/>
      <c r="B22" s="38"/>
      <c r="C22" s="43"/>
      <c r="D22" s="39"/>
      <c r="E22" s="39"/>
      <c r="F22" s="39"/>
      <c r="G22" s="57" t="str" cm="1">
        <f t="array" ref="G22">IF(ISNUMBER(SEARCH("Civil",INDEX(Table2[Type of Project],COUNTA(Table2[Type of Project])))),CHAR(80),"")</f>
        <v/>
      </c>
      <c r="H22" s="39" t="s">
        <v>31</v>
      </c>
      <c r="I22" s="39"/>
      <c r="J22" s="38"/>
      <c r="K22" s="38"/>
      <c r="L22" s="38"/>
      <c r="M22" s="58" t="str" cm="1">
        <f t="array" ref="M22">IF(ISNA(MATCH(INDEX(Contractor [1]!Table2[Type of Project],COUNTA(Contractor [1]!Table2[Type of Project])),{"Other","Civil","Mechanical","Electrical"},0)),CHAR(80),"")</f>
        <v/>
      </c>
      <c r="N22" s="39" t="s">
        <v>55</v>
      </c>
      <c r="O22" s="44"/>
      <c r="P22" s="44"/>
      <c r="Q22" s="44"/>
      <c r="R22" s="38"/>
      <c r="S22" s="38"/>
      <c r="T22" s="38"/>
      <c r="U22" s="14"/>
    </row>
    <row r="23" spans="1:28" ht="15.75" thickBot="1" x14ac:dyDescent="0.3">
      <c r="A23" s="6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10"/>
    </row>
    <row r="24" spans="1:28" ht="16.5" thickBot="1" x14ac:dyDescent="0.3">
      <c r="A24" s="19"/>
      <c r="B24" s="38"/>
      <c r="C24" s="39"/>
      <c r="D24" s="39"/>
      <c r="E24" s="39"/>
      <c r="F24" s="39"/>
      <c r="G24" s="57" t="str" cm="1">
        <f t="array" ref="G24">IF(ISNUMBER(SEARCH("Mechanical",INDEX(Table2[Type of Project],COUNTA(Table2[Type of Project])))),CHAR(80),"")</f>
        <v>P</v>
      </c>
      <c r="H24" s="39" t="s">
        <v>32</v>
      </c>
      <c r="I24" s="39"/>
      <c r="J24" s="39"/>
      <c r="K24" s="39"/>
      <c r="L24" s="39"/>
      <c r="M24" s="57" t="str" cm="1">
        <f t="array" ref="M24">IF(ISNUMBER(SEARCH("Electrical",INDEX(Table2[Type of Project],COUNTA(Table2[Type of Project])))),CHAR(80),"")</f>
        <v/>
      </c>
      <c r="N24" s="39" t="s">
        <v>33</v>
      </c>
      <c r="O24" s="39"/>
      <c r="P24" s="39"/>
      <c r="Q24" s="38"/>
      <c r="R24" s="38"/>
      <c r="S24" s="38"/>
      <c r="T24" s="39"/>
      <c r="U24" s="14"/>
    </row>
    <row r="25" spans="1:28" x14ac:dyDescent="0.25">
      <c r="A25" s="6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14"/>
    </row>
    <row r="26" spans="1:28" x14ac:dyDescent="0.25">
      <c r="A26" s="6"/>
      <c r="B26" s="38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8"/>
      <c r="P26" s="38"/>
      <c r="Q26" s="38"/>
      <c r="R26" s="38"/>
      <c r="S26" s="39"/>
      <c r="T26" s="39"/>
      <c r="U26" s="14"/>
    </row>
    <row r="27" spans="1:28" ht="15.75" thickBot="1" x14ac:dyDescent="0.3">
      <c r="A27" s="16"/>
      <c r="B27" s="8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8"/>
    </row>
    <row r="28" spans="1:28" x14ac:dyDescent="0.25">
      <c r="A28" s="6" t="s">
        <v>34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10"/>
    </row>
    <row r="29" spans="1:28" ht="15.75" thickBot="1" x14ac:dyDescent="0.3">
      <c r="A29" s="6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9"/>
    </row>
    <row r="30" spans="1:28" ht="15.75" thickBot="1" x14ac:dyDescent="0.3">
      <c r="A30" s="6"/>
      <c r="B30" s="26" t="e" cm="1" vm="1">
        <f t="array" ref="B30">IF(INDEX(Table2[Photo of Survey 1], COUNTA(Table2[Project Name]))&lt;&gt;"", _xlfn.IMAGE(INDEX(Table2[Photo of Survey 1], COUNTA(Table2[Project Name]))&amp;"?download=1"), "")</f>
        <v>#VALUE!</v>
      </c>
      <c r="C30" s="26"/>
      <c r="D30" s="26"/>
      <c r="E30" s="26"/>
      <c r="F30" s="26"/>
      <c r="G30" s="26"/>
      <c r="H30" s="38"/>
      <c r="I30" s="26" t="e" cm="1" vm="2">
        <f t="array" ref="I30">IF(INDEX(Table2[Photo of Survey 2], COUNTA(Table2[Project Name]))&lt;&gt;"", _xlfn.IMAGE(INDEX(Table2[Photo of Survey 2], COUNTA(Table2[Project Name]))&amp;"?download=1"), "")</f>
        <v>#VALUE!</v>
      </c>
      <c r="J30" s="26"/>
      <c r="K30" s="26"/>
      <c r="L30" s="26"/>
      <c r="M30" s="26"/>
      <c r="N30" s="26"/>
      <c r="O30" s="38"/>
      <c r="P30" s="26" t="e" cm="1" vm="3">
        <f t="array" ref="P30">IF(INDEX(Table2[Photo of Survey 3], COUNTA(Table2[Project Name]))&lt;&gt;"", _xlfn.IMAGE(INDEX(Table2[Photo of Survey 3], COUNTA(Table2[Project Name]))&amp;"?download=1"), "")</f>
        <v>#VALUE!</v>
      </c>
      <c r="Q30" s="26"/>
      <c r="R30" s="26"/>
      <c r="S30" s="26"/>
      <c r="T30" s="26"/>
      <c r="U30" s="26"/>
    </row>
    <row r="31" spans="1:28" ht="15.75" thickBot="1" x14ac:dyDescent="0.3">
      <c r="A31" s="6"/>
      <c r="B31" s="26"/>
      <c r="C31" s="26"/>
      <c r="D31" s="26"/>
      <c r="E31" s="26"/>
      <c r="F31" s="26"/>
      <c r="G31" s="26"/>
      <c r="H31" s="38"/>
      <c r="I31" s="26"/>
      <c r="J31" s="26"/>
      <c r="K31" s="26"/>
      <c r="L31" s="26"/>
      <c r="M31" s="26"/>
      <c r="N31" s="26"/>
      <c r="O31" s="38"/>
      <c r="P31" s="26"/>
      <c r="Q31" s="26"/>
      <c r="R31" s="26"/>
      <c r="S31" s="26"/>
      <c r="T31" s="26"/>
      <c r="U31" s="26"/>
    </row>
    <row r="32" spans="1:28" ht="15.75" thickBot="1" x14ac:dyDescent="0.3">
      <c r="A32" s="6"/>
      <c r="B32" s="26"/>
      <c r="C32" s="26"/>
      <c r="D32" s="26"/>
      <c r="E32" s="26"/>
      <c r="F32" s="26"/>
      <c r="G32" s="26"/>
      <c r="H32" s="38"/>
      <c r="I32" s="26"/>
      <c r="J32" s="26"/>
      <c r="K32" s="26"/>
      <c r="L32" s="26"/>
      <c r="M32" s="26"/>
      <c r="N32" s="26"/>
      <c r="O32" s="38"/>
      <c r="P32" s="26"/>
      <c r="Q32" s="26"/>
      <c r="R32" s="26"/>
      <c r="S32" s="26"/>
      <c r="T32" s="26"/>
      <c r="U32" s="26"/>
    </row>
    <row r="33" spans="1:21" ht="15.75" thickBot="1" x14ac:dyDescent="0.3">
      <c r="A33" s="6"/>
      <c r="B33" s="26"/>
      <c r="C33" s="26"/>
      <c r="D33" s="26"/>
      <c r="E33" s="26"/>
      <c r="F33" s="26"/>
      <c r="G33" s="26"/>
      <c r="H33" s="38"/>
      <c r="I33" s="26"/>
      <c r="J33" s="26"/>
      <c r="K33" s="26"/>
      <c r="L33" s="26"/>
      <c r="M33" s="26"/>
      <c r="N33" s="26"/>
      <c r="O33" s="38"/>
      <c r="P33" s="26"/>
      <c r="Q33" s="26"/>
      <c r="R33" s="26"/>
      <c r="S33" s="26"/>
      <c r="T33" s="26"/>
      <c r="U33" s="26"/>
    </row>
    <row r="34" spans="1:21" ht="15.75" thickBot="1" x14ac:dyDescent="0.3">
      <c r="A34" s="6"/>
      <c r="B34" s="26"/>
      <c r="C34" s="26"/>
      <c r="D34" s="26"/>
      <c r="E34" s="26"/>
      <c r="F34" s="26"/>
      <c r="G34" s="26"/>
      <c r="H34" s="38"/>
      <c r="I34" s="26"/>
      <c r="J34" s="26"/>
      <c r="K34" s="26"/>
      <c r="L34" s="26"/>
      <c r="M34" s="26"/>
      <c r="N34" s="26"/>
      <c r="O34" s="38"/>
      <c r="P34" s="26"/>
      <c r="Q34" s="26"/>
      <c r="R34" s="26"/>
      <c r="S34" s="26"/>
      <c r="T34" s="26"/>
      <c r="U34" s="26"/>
    </row>
    <row r="35" spans="1:21" ht="15.75" thickBot="1" x14ac:dyDescent="0.3">
      <c r="A35" s="6"/>
      <c r="B35" s="26"/>
      <c r="C35" s="26"/>
      <c r="D35" s="26"/>
      <c r="E35" s="26"/>
      <c r="F35" s="26"/>
      <c r="G35" s="26"/>
      <c r="H35" s="38"/>
      <c r="I35" s="26"/>
      <c r="J35" s="26"/>
      <c r="K35" s="26"/>
      <c r="L35" s="26"/>
      <c r="M35" s="26"/>
      <c r="N35" s="26"/>
      <c r="O35" s="38"/>
      <c r="P35" s="26"/>
      <c r="Q35" s="26"/>
      <c r="R35" s="26"/>
      <c r="S35" s="26"/>
      <c r="T35" s="26"/>
      <c r="U35" s="26"/>
    </row>
    <row r="36" spans="1:21" ht="15.75" thickBot="1" x14ac:dyDescent="0.3">
      <c r="A36" s="6"/>
      <c r="B36" s="26"/>
      <c r="C36" s="26"/>
      <c r="D36" s="26"/>
      <c r="E36" s="26"/>
      <c r="F36" s="26"/>
      <c r="G36" s="26"/>
      <c r="H36" s="38"/>
      <c r="I36" s="26"/>
      <c r="J36" s="26"/>
      <c r="K36" s="26"/>
      <c r="L36" s="26"/>
      <c r="M36" s="26"/>
      <c r="N36" s="26"/>
      <c r="O36" s="38"/>
      <c r="P36" s="26"/>
      <c r="Q36" s="26"/>
      <c r="R36" s="26"/>
      <c r="S36" s="26"/>
      <c r="T36" s="26"/>
      <c r="U36" s="26"/>
    </row>
    <row r="37" spans="1:21" ht="15.75" thickBot="1" x14ac:dyDescent="0.3">
      <c r="A37" s="6"/>
      <c r="B37" s="26"/>
      <c r="C37" s="26"/>
      <c r="D37" s="26"/>
      <c r="E37" s="26"/>
      <c r="F37" s="26"/>
      <c r="G37" s="26"/>
      <c r="H37" s="38"/>
      <c r="I37" s="26"/>
      <c r="J37" s="26"/>
      <c r="K37" s="26"/>
      <c r="L37" s="26"/>
      <c r="M37" s="26"/>
      <c r="N37" s="26"/>
      <c r="O37" s="38"/>
      <c r="P37" s="26"/>
      <c r="Q37" s="26"/>
      <c r="R37" s="26"/>
      <c r="S37" s="26"/>
      <c r="T37" s="26"/>
      <c r="U37" s="26"/>
    </row>
    <row r="38" spans="1:21" ht="15.75" thickBot="1" x14ac:dyDescent="0.3">
      <c r="A38" s="20"/>
      <c r="B38" s="26"/>
      <c r="C38" s="26"/>
      <c r="D38" s="26"/>
      <c r="E38" s="26"/>
      <c r="F38" s="26"/>
      <c r="G38" s="26"/>
      <c r="H38" s="20"/>
      <c r="I38" s="26"/>
      <c r="J38" s="26"/>
      <c r="K38" s="26"/>
      <c r="L38" s="26"/>
      <c r="M38" s="26"/>
      <c r="N38" s="26"/>
      <c r="O38" s="20"/>
      <c r="P38" s="26"/>
      <c r="Q38" s="26"/>
      <c r="R38" s="26"/>
      <c r="S38" s="26"/>
      <c r="T38" s="26"/>
      <c r="U38" s="26"/>
    </row>
    <row r="39" spans="1:21" x14ac:dyDescent="0.25">
      <c r="A39" s="6"/>
    </row>
    <row r="40" spans="1:21" x14ac:dyDescent="0.25">
      <c r="E40" s="21"/>
    </row>
    <row r="41" spans="1:21" x14ac:dyDescent="0.25">
      <c r="B41" s="22"/>
      <c r="C41" s="22"/>
      <c r="D41" s="22"/>
      <c r="E41" s="22"/>
      <c r="F41" s="22"/>
      <c r="G41" s="22"/>
      <c r="H41" s="11"/>
      <c r="I41" s="22"/>
      <c r="J41" s="22"/>
      <c r="K41" s="22"/>
      <c r="L41" s="22"/>
      <c r="M41" s="11"/>
      <c r="N41" s="22"/>
      <c r="O41" s="22"/>
      <c r="P41" s="22"/>
      <c r="Q41" s="22"/>
      <c r="R41" s="11"/>
      <c r="S41" s="22"/>
      <c r="T41" s="22"/>
      <c r="U41" s="22"/>
    </row>
    <row r="42" spans="1:21" x14ac:dyDescent="0.25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11"/>
      <c r="N42" s="22"/>
      <c r="O42" s="22"/>
      <c r="P42" s="22"/>
      <c r="Q42" s="22"/>
      <c r="R42" s="11"/>
      <c r="S42" s="22"/>
      <c r="T42" s="22"/>
      <c r="U42" s="22"/>
    </row>
    <row r="43" spans="1:21" x14ac:dyDescent="0.25"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11"/>
      <c r="N43" s="11"/>
      <c r="O43" s="11"/>
      <c r="P43" s="11"/>
      <c r="Q43" s="11"/>
      <c r="R43" s="11"/>
      <c r="S43" s="22"/>
      <c r="T43" s="22"/>
      <c r="U43" s="22"/>
    </row>
    <row r="44" spans="1:21" x14ac:dyDescent="0.25"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11"/>
      <c r="N44" s="11"/>
      <c r="O44" s="11"/>
      <c r="P44" s="11"/>
      <c r="Q44" s="11"/>
      <c r="R44" s="11"/>
      <c r="S44" s="22"/>
      <c r="T44" s="22"/>
      <c r="U44" s="22"/>
    </row>
    <row r="45" spans="1:21" x14ac:dyDescent="0.25"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11"/>
      <c r="N45" s="11"/>
      <c r="O45" s="11"/>
      <c r="P45" s="11"/>
      <c r="Q45" s="11"/>
      <c r="R45" s="11"/>
      <c r="S45" s="22"/>
      <c r="T45" s="22"/>
      <c r="U45" s="22"/>
    </row>
    <row r="46" spans="1:21" x14ac:dyDescent="0.25">
      <c r="B46" s="22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11"/>
      <c r="N46" s="11"/>
      <c r="O46" s="11"/>
      <c r="P46" s="11"/>
      <c r="Q46" s="11"/>
      <c r="R46" s="11"/>
      <c r="S46" s="22"/>
      <c r="T46" s="22"/>
      <c r="U46" s="22"/>
    </row>
    <row r="47" spans="1:21" x14ac:dyDescent="0.25">
      <c r="B47" s="22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11"/>
      <c r="N47" s="11"/>
      <c r="O47" s="11"/>
      <c r="P47" s="11"/>
      <c r="Q47" s="11"/>
      <c r="R47" s="11"/>
      <c r="S47" s="22"/>
      <c r="T47" s="22"/>
      <c r="U47" s="22"/>
    </row>
    <row r="48" spans="1:21" x14ac:dyDescent="0.25">
      <c r="B48" s="22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11"/>
      <c r="N48" s="11"/>
      <c r="O48" s="11"/>
      <c r="P48" s="11"/>
      <c r="Q48" s="11"/>
      <c r="R48" s="11"/>
      <c r="S48" s="22"/>
      <c r="T48" s="22"/>
      <c r="U48" s="22"/>
    </row>
    <row r="49" spans="2:21" x14ac:dyDescent="0.25">
      <c r="B49" s="22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11"/>
      <c r="N49" s="11"/>
      <c r="O49" s="11"/>
      <c r="P49" s="11"/>
      <c r="Q49" s="11"/>
      <c r="R49" s="11"/>
      <c r="S49" s="22"/>
      <c r="T49" s="22"/>
      <c r="U49" s="22"/>
    </row>
    <row r="50" spans="2:21" x14ac:dyDescent="0.25">
      <c r="B50" s="22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11"/>
      <c r="N50" s="11"/>
      <c r="O50" s="11"/>
      <c r="P50" s="11"/>
      <c r="Q50" s="11"/>
      <c r="R50" s="11"/>
      <c r="S50" s="22"/>
      <c r="T50" s="22"/>
      <c r="U50" s="22"/>
    </row>
    <row r="51" spans="2:21" x14ac:dyDescent="0.25"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11"/>
      <c r="N51" s="11"/>
      <c r="O51" s="11"/>
      <c r="P51" s="11"/>
      <c r="Q51" s="11"/>
      <c r="R51" s="11"/>
      <c r="S51" s="22"/>
      <c r="T51" s="22"/>
      <c r="U51" s="22"/>
    </row>
    <row r="52" spans="2:21" x14ac:dyDescent="0.25">
      <c r="B52" s="22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11"/>
      <c r="N52" s="11"/>
      <c r="O52" s="11"/>
      <c r="P52" s="11"/>
      <c r="Q52" s="11"/>
      <c r="R52" s="11"/>
      <c r="S52" s="22"/>
      <c r="T52" s="22"/>
      <c r="U52" s="22"/>
    </row>
    <row r="53" spans="2:21" x14ac:dyDescent="0.25"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11"/>
      <c r="N53" s="11"/>
      <c r="O53" s="11"/>
      <c r="P53" s="11"/>
      <c r="Q53" s="11"/>
      <c r="R53" s="11"/>
      <c r="S53" s="22"/>
      <c r="T53" s="22"/>
      <c r="U53" s="22"/>
    </row>
    <row r="54" spans="2:21" x14ac:dyDescent="0.25">
      <c r="B54" s="22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11"/>
      <c r="N54" s="11"/>
      <c r="O54" s="11"/>
      <c r="P54" s="11"/>
      <c r="Q54" s="11"/>
      <c r="R54" s="11"/>
      <c r="S54" s="22"/>
      <c r="T54" s="22"/>
      <c r="U54" s="22"/>
    </row>
    <row r="55" spans="2:21" x14ac:dyDescent="0.25"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11"/>
      <c r="N55" s="11"/>
      <c r="O55" s="11"/>
      <c r="P55" s="11"/>
      <c r="Q55" s="11"/>
      <c r="R55" s="11"/>
      <c r="S55" s="22"/>
      <c r="T55" s="22"/>
      <c r="U55" s="22"/>
    </row>
    <row r="56" spans="2:21" x14ac:dyDescent="0.25">
      <c r="B56" s="22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11"/>
      <c r="N56" s="11"/>
      <c r="O56" s="11"/>
      <c r="P56" s="11"/>
      <c r="Q56" s="11"/>
      <c r="R56" s="11"/>
      <c r="S56" s="22"/>
      <c r="T56" s="22"/>
      <c r="U56" s="22"/>
    </row>
    <row r="57" spans="2:21" x14ac:dyDescent="0.25">
      <c r="B57" s="22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11"/>
      <c r="N57" s="11"/>
      <c r="O57" s="11"/>
      <c r="P57" s="11"/>
      <c r="Q57" s="11"/>
      <c r="R57" s="11"/>
      <c r="S57" s="22"/>
      <c r="T57" s="22"/>
      <c r="U57" s="22"/>
    </row>
    <row r="58" spans="2:21" x14ac:dyDescent="0.25">
      <c r="B58" s="22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11"/>
      <c r="N58" s="11"/>
      <c r="O58" s="11"/>
      <c r="P58" s="11"/>
      <c r="Q58" s="11"/>
      <c r="R58" s="11"/>
      <c r="S58" s="22"/>
      <c r="T58" s="22"/>
      <c r="U58" s="22"/>
    </row>
    <row r="60" spans="2:21" x14ac:dyDescent="0.25">
      <c r="C60" s="23"/>
      <c r="D60" s="23"/>
      <c r="E60" s="23"/>
      <c r="F60" s="23"/>
      <c r="G60" s="23"/>
      <c r="H60" s="23"/>
      <c r="I60" s="23"/>
      <c r="J60" s="23"/>
      <c r="K60" s="23"/>
    </row>
    <row r="61" spans="2:21" x14ac:dyDescent="0.25">
      <c r="C61" s="24"/>
      <c r="D61" s="24"/>
      <c r="E61" s="24"/>
      <c r="F61" s="24"/>
      <c r="G61" s="24"/>
      <c r="H61" s="24"/>
      <c r="I61" s="24"/>
      <c r="J61" s="24"/>
      <c r="K61" s="24"/>
    </row>
    <row r="62" spans="2:21" x14ac:dyDescent="0.25">
      <c r="C62" s="24"/>
      <c r="D62" s="24"/>
      <c r="E62" s="24"/>
      <c r="F62" s="24"/>
      <c r="G62" s="24"/>
      <c r="H62" s="24"/>
      <c r="I62" s="24"/>
      <c r="J62" s="24"/>
      <c r="K62" s="24"/>
    </row>
    <row r="63" spans="2:21" x14ac:dyDescent="0.25">
      <c r="C63" s="24"/>
      <c r="D63" s="24"/>
      <c r="E63" s="24"/>
      <c r="F63" s="24"/>
      <c r="G63" s="24"/>
      <c r="H63" s="24"/>
      <c r="I63" s="24"/>
      <c r="J63" s="24"/>
      <c r="K63" s="24"/>
    </row>
    <row r="64" spans="2:21" x14ac:dyDescent="0.25">
      <c r="C64" s="24"/>
      <c r="D64" s="24"/>
      <c r="E64" s="24"/>
      <c r="F64" s="24"/>
      <c r="G64" s="24"/>
      <c r="H64" s="24"/>
      <c r="I64" s="24"/>
      <c r="J64" s="24"/>
      <c r="K64" s="24"/>
    </row>
    <row r="65" spans="3:15" x14ac:dyDescent="0.25">
      <c r="C65" s="24"/>
      <c r="D65" s="24"/>
      <c r="E65" s="24"/>
      <c r="F65" s="24"/>
      <c r="G65" s="24"/>
      <c r="H65" s="24"/>
      <c r="I65" s="24"/>
      <c r="J65" s="24"/>
      <c r="K65" s="24"/>
    </row>
    <row r="70" spans="3:15" x14ac:dyDescent="0.25">
      <c r="D70" s="12"/>
    </row>
    <row r="80" spans="3:15" x14ac:dyDescent="0.25">
      <c r="E80" s="12"/>
      <c r="O80" s="25"/>
    </row>
    <row r="84" spans="5:15" x14ac:dyDescent="0.25">
      <c r="E84" s="12"/>
      <c r="O84" s="25"/>
    </row>
  </sheetData>
  <mergeCells count="9">
    <mergeCell ref="B30:G38"/>
    <mergeCell ref="I30:N38"/>
    <mergeCell ref="P30:U38"/>
    <mergeCell ref="A1:U1"/>
    <mergeCell ref="A2:U2"/>
    <mergeCell ref="A3:U4"/>
    <mergeCell ref="G6:T6"/>
    <mergeCell ref="G8:N8"/>
    <mergeCell ref="G10:N10"/>
  </mergeCells>
  <pageMargins left="0.7" right="0.7" top="0.75" bottom="0.75" header="0.3" footer="0.3"/>
  <pageSetup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B1D0-592A-49D2-A355-263943966DCD}">
  <sheetPr>
    <pageSetUpPr fitToPage="1"/>
  </sheetPr>
  <dimension ref="A1:BM6"/>
  <sheetViews>
    <sheetView topLeftCell="E1" zoomScale="98" zoomScaleNormal="98" workbookViewId="0">
      <selection activeCell="N1" sqref="N1"/>
    </sheetView>
  </sheetViews>
  <sheetFormatPr defaultRowHeight="15" x14ac:dyDescent="0.25"/>
  <cols>
    <col min="1" max="1" width="9.42578125" style="5" bestFit="1" customWidth="1"/>
    <col min="2" max="2" width="25.140625" style="5" customWidth="1"/>
    <col min="3" max="3" width="24.85546875" style="5" customWidth="1"/>
    <col min="4" max="5" width="24" style="5" customWidth="1"/>
    <col min="6" max="6" width="16.7109375" style="5" bestFit="1" customWidth="1"/>
    <col min="7" max="7" width="24.140625" style="5" bestFit="1" customWidth="1"/>
    <col min="8" max="8" width="34.140625" style="5" customWidth="1"/>
    <col min="9" max="9" width="11.42578125" style="5" customWidth="1"/>
    <col min="10" max="10" width="9.140625" style="5"/>
    <col min="11" max="11" width="17" style="5" customWidth="1"/>
    <col min="12" max="12" width="14.140625" style="5" customWidth="1"/>
    <col min="13" max="13" width="23.28515625" style="5" customWidth="1"/>
    <col min="14" max="14" width="11.7109375" style="5" customWidth="1"/>
    <col min="15" max="15" width="10" style="5" customWidth="1"/>
    <col min="16" max="16" width="12.5703125" style="5" bestFit="1" customWidth="1"/>
    <col min="17" max="17" width="12.7109375" style="5" bestFit="1" customWidth="1"/>
    <col min="18" max="18" width="15.5703125" style="5" customWidth="1"/>
    <col min="19" max="19" width="16.5703125" style="5" customWidth="1"/>
    <col min="20" max="26" width="9.140625" style="5"/>
    <col min="27" max="27" width="10.42578125" style="5" customWidth="1"/>
    <col min="28" max="28" width="9.42578125" style="5" customWidth="1"/>
    <col min="29" max="29" width="8.85546875" style="5" customWidth="1"/>
    <col min="30" max="39" width="9.42578125" style="5" bestFit="1" customWidth="1"/>
    <col min="40" max="40" width="12.28515625" style="5" customWidth="1"/>
    <col min="41" max="41" width="11.5703125" style="5" customWidth="1"/>
    <col min="42" max="44" width="9.140625" style="5"/>
    <col min="45" max="49" width="9.42578125" style="5" bestFit="1" customWidth="1"/>
    <col min="50" max="65" width="9.140625" style="5"/>
  </cols>
  <sheetData>
    <row r="1" spans="1:55" s="4" customFormat="1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</row>
    <row r="2" spans="1:55" ht="375" x14ac:dyDescent="0.25">
      <c r="A2" s="32">
        <v>147</v>
      </c>
      <c r="B2" s="33">
        <v>46063.605925925927</v>
      </c>
      <c r="C2" s="33">
        <v>46063.605914351851</v>
      </c>
      <c r="D2" s="34" t="s">
        <v>35</v>
      </c>
      <c r="E2" s="34" t="s">
        <v>36</v>
      </c>
      <c r="F2" s="32" t="s">
        <v>37</v>
      </c>
      <c r="G2" s="32">
        <v>292974</v>
      </c>
      <c r="H2" s="35">
        <v>46064</v>
      </c>
      <c r="I2" s="32" t="s">
        <v>38</v>
      </c>
      <c r="J2" s="32" t="s">
        <v>36</v>
      </c>
      <c r="K2" s="32" t="s">
        <v>35</v>
      </c>
      <c r="L2" s="32" t="s">
        <v>39</v>
      </c>
      <c r="M2" s="32" t="s">
        <v>35</v>
      </c>
      <c r="N2" s="32" t="s">
        <v>40</v>
      </c>
      <c r="O2" s="32" t="s">
        <v>41</v>
      </c>
      <c r="P2" s="32" t="s">
        <v>42</v>
      </c>
      <c r="Q2" s="32" t="s">
        <v>43</v>
      </c>
      <c r="R2" s="32" t="s">
        <v>44</v>
      </c>
      <c r="S2" s="32" t="s">
        <v>45</v>
      </c>
    </row>
    <row r="3" spans="1:55" ht="375" x14ac:dyDescent="0.25">
      <c r="A3" s="32">
        <v>148</v>
      </c>
      <c r="B3" s="36">
        <v>46063.62300925926</v>
      </c>
      <c r="C3" s="36">
        <v>46063.622997685183</v>
      </c>
      <c r="D3" s="37" t="s">
        <v>35</v>
      </c>
      <c r="E3" s="34" t="s">
        <v>46</v>
      </c>
      <c r="F3" s="32" t="s">
        <v>47</v>
      </c>
      <c r="G3" s="32">
        <v>339939</v>
      </c>
      <c r="H3" s="35">
        <v>46064</v>
      </c>
      <c r="I3" s="32" t="s">
        <v>38</v>
      </c>
      <c r="J3" s="32" t="s">
        <v>46</v>
      </c>
      <c r="K3" s="32" t="s">
        <v>35</v>
      </c>
      <c r="L3" s="32" t="s">
        <v>48</v>
      </c>
      <c r="M3" s="32" t="s">
        <v>35</v>
      </c>
      <c r="N3" s="32" t="s">
        <v>49</v>
      </c>
      <c r="O3" s="32" t="s">
        <v>50</v>
      </c>
      <c r="P3" s="32" t="s">
        <v>51</v>
      </c>
      <c r="Q3" s="32" t="s">
        <v>52</v>
      </c>
      <c r="R3" s="32" t="s">
        <v>53</v>
      </c>
      <c r="S3" s="32" t="s">
        <v>54</v>
      </c>
    </row>
    <row r="4" spans="1:55" ht="375" x14ac:dyDescent="0.25">
      <c r="A4" s="32">
        <v>149</v>
      </c>
      <c r="B4" s="36">
        <v>46063.642523148148</v>
      </c>
      <c r="C4" s="36">
        <v>46063.642511574071</v>
      </c>
      <c r="D4" s="37" t="s">
        <v>35</v>
      </c>
      <c r="E4" s="34" t="s">
        <v>56</v>
      </c>
      <c r="F4" s="32" t="s">
        <v>57</v>
      </c>
      <c r="G4" s="32">
        <v>27272</v>
      </c>
      <c r="H4" s="35">
        <v>46064</v>
      </c>
      <c r="I4" s="32" t="s">
        <v>58</v>
      </c>
      <c r="J4" s="32" t="s">
        <v>56</v>
      </c>
      <c r="K4" s="32" t="s">
        <v>35</v>
      </c>
      <c r="L4" s="32" t="s">
        <v>59</v>
      </c>
      <c r="M4" s="32" t="s">
        <v>35</v>
      </c>
      <c r="N4" s="32" t="s">
        <v>60</v>
      </c>
      <c r="O4" s="32" t="s">
        <v>61</v>
      </c>
      <c r="P4" s="32" t="s">
        <v>62</v>
      </c>
      <c r="Q4" s="32" t="s">
        <v>63</v>
      </c>
      <c r="R4" s="32" t="s">
        <v>64</v>
      </c>
      <c r="S4" s="32" t="s">
        <v>65</v>
      </c>
    </row>
    <row r="5" spans="1:55" ht="360" x14ac:dyDescent="0.25">
      <c r="A5" s="32">
        <v>150</v>
      </c>
      <c r="B5" s="36">
        <v>46063.658576388887</v>
      </c>
      <c r="C5" s="36">
        <v>46063.658564814818</v>
      </c>
      <c r="D5" s="37" t="s">
        <v>35</v>
      </c>
      <c r="E5" s="34" t="s">
        <v>66</v>
      </c>
      <c r="F5" s="32" t="s">
        <v>67</v>
      </c>
      <c r="G5" s="32">
        <v>636373</v>
      </c>
      <c r="H5" s="35">
        <v>46063</v>
      </c>
      <c r="I5" s="32" t="s">
        <v>68</v>
      </c>
      <c r="J5" s="32" t="s">
        <v>66</v>
      </c>
      <c r="K5" s="32" t="s">
        <v>35</v>
      </c>
      <c r="L5" s="32" t="s">
        <v>69</v>
      </c>
      <c r="M5" s="32" t="s">
        <v>35</v>
      </c>
      <c r="N5" s="32" t="s">
        <v>70</v>
      </c>
      <c r="O5" s="32" t="s">
        <v>71</v>
      </c>
      <c r="P5" s="32" t="s">
        <v>72</v>
      </c>
      <c r="Q5" s="32" t="s">
        <v>73</v>
      </c>
      <c r="R5" s="32" t="s">
        <v>74</v>
      </c>
      <c r="S5" s="32" t="s">
        <v>75</v>
      </c>
    </row>
    <row r="6" spans="1:55" ht="345" x14ac:dyDescent="0.25">
      <c r="A6" s="32">
        <v>151</v>
      </c>
      <c r="B6" s="36">
        <v>46063.667534722219</v>
      </c>
      <c r="C6" s="36">
        <v>46063.667511574073</v>
      </c>
      <c r="D6" s="37" t="s">
        <v>35</v>
      </c>
      <c r="E6" s="34" t="s">
        <v>77</v>
      </c>
      <c r="F6" s="32" t="s">
        <v>78</v>
      </c>
      <c r="G6" s="32">
        <v>3453</v>
      </c>
      <c r="H6" s="35">
        <v>46063</v>
      </c>
      <c r="I6" s="32" t="s">
        <v>38</v>
      </c>
      <c r="J6" s="32" t="s">
        <v>77</v>
      </c>
      <c r="K6" s="32" t="s">
        <v>35</v>
      </c>
      <c r="L6" s="32" t="s">
        <v>79</v>
      </c>
      <c r="M6" s="32" t="s">
        <v>35</v>
      </c>
      <c r="N6" s="32" t="s">
        <v>80</v>
      </c>
      <c r="O6" s="32" t="s">
        <v>81</v>
      </c>
      <c r="P6" s="32" t="s">
        <v>82</v>
      </c>
      <c r="Q6" s="32" t="s">
        <v>83</v>
      </c>
      <c r="R6" s="32" t="s">
        <v>84</v>
      </c>
      <c r="S6" s="32"/>
    </row>
  </sheetData>
  <pageMargins left="0.7" right="0.7" top="0.75" bottom="0.75" header="0.3" footer="0.3"/>
  <pageSetup fitToHeight="0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4863f5d6-4760-4589-be9c-42f82e075739}" enabled="0" method="" siteId="{4863f5d6-4760-4589-be9c-42f82e07573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Template</vt:lpstr>
      <vt:lpstr>Form</vt:lpstr>
      <vt:lpstr>Form!Print_Area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Shamad Rennu</dc:creator>
  <cp:lastModifiedBy>Abdul Shamad Rennu</cp:lastModifiedBy>
  <cp:lastPrinted>2026-02-10T08:29:53Z</cp:lastPrinted>
  <dcterms:created xsi:type="dcterms:W3CDTF">2026-02-10T06:34:14Z</dcterms:created>
  <dcterms:modified xsi:type="dcterms:W3CDTF">2026-02-10T09:01:35Z</dcterms:modified>
</cp:coreProperties>
</file>